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informe_de_gestion\"/>
    </mc:Choice>
  </mc:AlternateContent>
  <xr:revisionPtr revIDLastSave="0" documentId="13_ncr:1_{513001DF-2BCF-43DF-895F-49D7E75D2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stencia Corte 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I34" i="1"/>
  <c r="K34" i="1" s="1"/>
  <c r="I33" i="1"/>
  <c r="K33" i="1" s="1"/>
  <c r="I32" i="1"/>
  <c r="K32" i="1" s="1"/>
  <c r="I31" i="1"/>
  <c r="K31" i="1" s="1"/>
  <c r="I30" i="1"/>
  <c r="J30" i="1" s="1"/>
  <c r="I29" i="1"/>
  <c r="K29" i="1" s="1"/>
  <c r="I28" i="1"/>
  <c r="K28" i="1" s="1"/>
  <c r="I27" i="1"/>
  <c r="K27" i="1" s="1"/>
  <c r="K26" i="1"/>
  <c r="I26" i="1"/>
  <c r="J26" i="1" s="1"/>
  <c r="I25" i="1"/>
  <c r="K25" i="1" s="1"/>
  <c r="I24" i="1"/>
  <c r="J24" i="1" s="1"/>
  <c r="I23" i="1"/>
  <c r="K23" i="1" s="1"/>
  <c r="K22" i="1"/>
  <c r="J22" i="1"/>
  <c r="I22" i="1"/>
  <c r="I21" i="1"/>
  <c r="K21" i="1" s="1"/>
  <c r="I20" i="1"/>
  <c r="K20" i="1" s="1"/>
  <c r="I19" i="1"/>
  <c r="J19" i="1" s="1"/>
  <c r="I18" i="1"/>
  <c r="J18" i="1" s="1"/>
  <c r="I17" i="1"/>
  <c r="K17" i="1" s="1"/>
  <c r="I16" i="1"/>
  <c r="J16" i="1" s="1"/>
  <c r="I15" i="1"/>
  <c r="K15" i="1" s="1"/>
  <c r="I14" i="1"/>
  <c r="K14" i="1" s="1"/>
  <c r="K13" i="1"/>
  <c r="J13" i="1"/>
  <c r="I13" i="1"/>
  <c r="I12" i="1"/>
  <c r="K12" i="1" s="1"/>
  <c r="I11" i="1"/>
  <c r="K11" i="1" s="1"/>
  <c r="K10" i="1"/>
  <c r="I10" i="1"/>
  <c r="J10" i="1" s="1"/>
  <c r="I9" i="1"/>
  <c r="J9" i="1" s="1"/>
  <c r="I8" i="1"/>
  <c r="J8" i="1" s="1"/>
  <c r="K7" i="1"/>
  <c r="I7" i="1"/>
  <c r="J7" i="1" s="1"/>
  <c r="I6" i="1"/>
  <c r="K6" i="1" s="1"/>
  <c r="I5" i="1"/>
  <c r="K5" i="1" s="1"/>
  <c r="I4" i="1"/>
  <c r="K4" i="1" s="1"/>
  <c r="J5" i="1" l="1"/>
  <c r="J23" i="1"/>
  <c r="K18" i="1"/>
  <c r="K19" i="1"/>
  <c r="J21" i="1"/>
  <c r="J25" i="1"/>
  <c r="K30" i="1"/>
  <c r="J4" i="1"/>
  <c r="K9" i="1"/>
  <c r="J20" i="1"/>
  <c r="J15" i="1"/>
  <c r="J31" i="1"/>
  <c r="J14" i="1"/>
  <c r="J32" i="1"/>
  <c r="J11" i="1"/>
  <c r="K16" i="1"/>
  <c r="J27" i="1"/>
  <c r="J17" i="1"/>
  <c r="J33" i="1"/>
  <c r="K24" i="1"/>
  <c r="J6" i="1"/>
  <c r="J12" i="1"/>
  <c r="J28" i="1"/>
  <c r="K8" i="1"/>
  <c r="J34" i="1"/>
  <c r="J29" i="1"/>
  <c r="D36" i="1" l="1"/>
  <c r="D3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Agente</author>
  </authors>
  <commentList>
    <comment ref="I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Numero de semanas del corte (de las 5) en que el estudiante NO asistio.</t>
        </r>
      </text>
    </comment>
    <comment ref="K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SI solo si el estudiante asistio al 100% de las clases del corte (0 faltas), segun la definicion del INSTRUCTIVO del formato de gestion docente.</t>
        </r>
      </text>
    </comment>
  </commentList>
</comments>
</file>

<file path=xl/sharedStrings.xml><?xml version="1.0" encoding="utf-8"?>
<sst xmlns="http://schemas.openxmlformats.org/spreadsheetml/2006/main" count="232" uniqueCount="79">
  <si>
    <t>CONTROL DE ASISTENCIA - CORTE 2 (Semanas 1 a 5) - SISTEMAS OPERATIVOS - Grupo IS05D2</t>
  </si>
  <si>
    <t>No</t>
  </si>
  <si>
    <t>Documento</t>
  </si>
  <si>
    <t>Nombre</t>
  </si>
  <si>
    <t>Semana 1</t>
  </si>
  <si>
    <t>Semana 2</t>
  </si>
  <si>
    <t>Semana 3</t>
  </si>
  <si>
    <t>Semana 4</t>
  </si>
  <si>
    <t>Semana 5</t>
  </si>
  <si>
    <t>Faltas</t>
  </si>
  <si>
    <t>Asistencia %</t>
  </si>
  <si>
    <t>Asistencia Regular</t>
  </si>
  <si>
    <t>TI - 1088945352</t>
  </si>
  <si>
    <t>ADRADA CABRERA DEYBI ALEJANDRO</t>
  </si>
  <si>
    <t>P</t>
  </si>
  <si>
    <t>CC - 1113363665</t>
  </si>
  <si>
    <t>AGUILAR IBARRA DACIA NICOL</t>
  </si>
  <si>
    <t>CC - 1110292041</t>
  </si>
  <si>
    <t>ALZATE HERNANDEZ JUAN FELIPE</t>
  </si>
  <si>
    <t>CC - 1006200382</t>
  </si>
  <si>
    <t>ANGULO ANGULO YIDIER ANDRES</t>
  </si>
  <si>
    <t>CC - 1007763202</t>
  </si>
  <si>
    <t>ARBOLEDA FERRIN DYLAN ANDRES</t>
  </si>
  <si>
    <t>CC - 1006194923</t>
  </si>
  <si>
    <t>BALANTA MONTEGRANARIO LUISA FERNANDA</t>
  </si>
  <si>
    <t>CC - 1006201197</t>
  </si>
  <si>
    <t>BALTAN CARABALI EDWIN LEONEL</t>
  </si>
  <si>
    <t>CC - 1006268752</t>
  </si>
  <si>
    <t>CABAL DE LA CRUZ VICTOR MANUEL</t>
  </si>
  <si>
    <t>TI - 1105929157</t>
  </si>
  <si>
    <t>CACERES MOSQUERA BRAYAN STIVEN</t>
  </si>
  <si>
    <t>A</t>
  </si>
  <si>
    <t>CC - 1028181415</t>
  </si>
  <si>
    <t>CAICEDO PANAMEÑO LUIS ADRIAN</t>
  </si>
  <si>
    <t>TI - 1094883149</t>
  </si>
  <si>
    <t>CANDELO GARCES BRAYAN ESTEBAN</t>
  </si>
  <si>
    <t>CC - 1111743812</t>
  </si>
  <si>
    <t>CASTILLO RIASCOS YEISON ANDRES</t>
  </si>
  <si>
    <t>TI - 1115453520</t>
  </si>
  <si>
    <t>CELORIO CUELLAR JOHAN DAVID</t>
  </si>
  <si>
    <t>CC - 1111756673</t>
  </si>
  <si>
    <t>GARCIA CAICEDO KIARA MARCELA</t>
  </si>
  <si>
    <t>TI - 1086050836</t>
  </si>
  <si>
    <t>GARCIA ORTIZ JEFER ANDRES</t>
  </si>
  <si>
    <t>TI - 1150934915</t>
  </si>
  <si>
    <t>MINA RIASCOS JORGE ARTURO</t>
  </si>
  <si>
    <t>TI - 1111760553</t>
  </si>
  <si>
    <t>MOSQUERA ANGULO MARIEN YISEL</t>
  </si>
  <si>
    <t>CC - 1111767780</t>
  </si>
  <si>
    <t>MURIEL CULMAN OMAR ARLEX</t>
  </si>
  <si>
    <t>TI - 1111759717</t>
  </si>
  <si>
    <t>MURILLO OROZCO KENDRY NAHIROBY</t>
  </si>
  <si>
    <t>TI - 1028187142</t>
  </si>
  <si>
    <t>ORTEGA ESTRADA FAUYI ANDREI</t>
  </si>
  <si>
    <t>CC - 1113364115</t>
  </si>
  <si>
    <t>ORTIZ HINESTROZA MARBEL JOHANA</t>
  </si>
  <si>
    <t>TI - 1111760349</t>
  </si>
  <si>
    <t>ORTIZ VALENCIA JOSE MIGUEL</t>
  </si>
  <si>
    <t>CC - 1111745075</t>
  </si>
  <si>
    <t>PAZ BARRANTES JOHAN ANDRES</t>
  </si>
  <si>
    <t>CC - 1111742618</t>
  </si>
  <si>
    <t>RAMÍREZ MARTÍNEZ MAIRA LISSETH</t>
  </si>
  <si>
    <t>TI - 1028189077</t>
  </si>
  <si>
    <t>RIASCOS ESTUPIÑAN HANNER</t>
  </si>
  <si>
    <t>TI - 1111798602</t>
  </si>
  <si>
    <t>RIASCOS GARCIA JUAN DAVID</t>
  </si>
  <si>
    <t>CC - 1111758715</t>
  </si>
  <si>
    <t>RIASCOS VALENCIA DENNIS DARIANA</t>
  </si>
  <si>
    <t>CC - 1150942448</t>
  </si>
  <si>
    <t>ROSERO TORRES BRAYAN STIVEN</t>
  </si>
  <si>
    <t>CC - 1111748942</t>
  </si>
  <si>
    <t>TORRES PORTOCARRERO CARLOS ANDRES</t>
  </si>
  <si>
    <t>CC - 1111738339</t>
  </si>
  <si>
    <t>VALENCIA MINA HELEN MARGARITA</t>
  </si>
  <si>
    <t>CC - 1113363247</t>
  </si>
  <si>
    <t>ZAMORA REYES JUAN CAMILO</t>
  </si>
  <si>
    <t>Matriculados</t>
  </si>
  <si>
    <t>Asistencia regular (100% asistencia)</t>
  </si>
  <si>
    <t>Inasistencia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</si>
</sst>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0" fontId="0" fillId="3" borderId="0" xfId="0" applyFill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sqref="A1:L1"/>
    </sheetView>
  </sheetViews>
  <sheetFormatPr baseColWidth="10" defaultColWidth="8.88671875" defaultRowHeight="14.4" x14ac:dyDescent="0.3"/>
  <cols>
    <col min="1" max="1" width="5" customWidth="1"/>
    <col min="2" max="2" width="14" customWidth="1"/>
    <col min="3" max="3" width="32" customWidth="1"/>
    <col min="4" max="8" width="10" customWidth="1"/>
    <col min="9" max="9" width="9" customWidth="1"/>
    <col min="10" max="10" width="12" customWidth="1"/>
    <col min="11" max="11" width="16" customWidth="1"/>
  </cols>
  <sheetData>
    <row r="1" spans="1:12" ht="15.6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2" x14ac:dyDescent="0.3">
      <c r="A4">
        <v>1</v>
      </c>
      <c r="B4" t="s">
        <v>12</v>
      </c>
      <c r="C4" t="s">
        <v>13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>
        <f t="shared" ref="I4:I34" si="0">COUNTIF(D4:H4,"A")</f>
        <v>0</v>
      </c>
      <c r="J4" s="3">
        <f t="shared" ref="J4:J34" si="1">IFERROR((5-I4)/5,"")</f>
        <v>1</v>
      </c>
      <c r="K4" t="str">
        <f t="shared" ref="K4:K34" si="2">IF(I4=0,"SI","NO")</f>
        <v>SI</v>
      </c>
    </row>
    <row r="5" spans="1:12" x14ac:dyDescent="0.3">
      <c r="A5">
        <v>2</v>
      </c>
      <c r="B5" t="s">
        <v>15</v>
      </c>
      <c r="C5" t="s">
        <v>16</v>
      </c>
      <c r="D5" s="2" t="s">
        <v>14</v>
      </c>
      <c r="E5" s="2" t="s">
        <v>14</v>
      </c>
      <c r="F5" s="2" t="s">
        <v>14</v>
      </c>
      <c r="G5" s="2" t="s">
        <v>14</v>
      </c>
      <c r="H5" s="2" t="s">
        <v>14</v>
      </c>
      <c r="I5">
        <f t="shared" si="0"/>
        <v>0</v>
      </c>
      <c r="J5" s="3">
        <f t="shared" si="1"/>
        <v>1</v>
      </c>
      <c r="K5" t="str">
        <f t="shared" si="2"/>
        <v>SI</v>
      </c>
    </row>
    <row r="6" spans="1:12" x14ac:dyDescent="0.3">
      <c r="A6">
        <v>3</v>
      </c>
      <c r="B6" t="s">
        <v>17</v>
      </c>
      <c r="C6" t="s">
        <v>18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>
        <f t="shared" si="0"/>
        <v>0</v>
      </c>
      <c r="J6" s="3">
        <f t="shared" si="1"/>
        <v>1</v>
      </c>
      <c r="K6" t="str">
        <f t="shared" si="2"/>
        <v>SI</v>
      </c>
    </row>
    <row r="7" spans="1:12" x14ac:dyDescent="0.3">
      <c r="A7">
        <v>4</v>
      </c>
      <c r="B7" t="s">
        <v>19</v>
      </c>
      <c r="C7" t="s">
        <v>20</v>
      </c>
      <c r="D7" s="2" t="s">
        <v>14</v>
      </c>
      <c r="E7" s="2" t="s">
        <v>14</v>
      </c>
      <c r="F7" s="2" t="s">
        <v>14</v>
      </c>
      <c r="G7" s="2" t="s">
        <v>14</v>
      </c>
      <c r="H7" s="2" t="s">
        <v>14</v>
      </c>
      <c r="I7">
        <f t="shared" si="0"/>
        <v>0</v>
      </c>
      <c r="J7" s="3">
        <f t="shared" si="1"/>
        <v>1</v>
      </c>
      <c r="K7" t="str">
        <f t="shared" si="2"/>
        <v>SI</v>
      </c>
    </row>
    <row r="8" spans="1:12" x14ac:dyDescent="0.3">
      <c r="A8">
        <v>5</v>
      </c>
      <c r="B8" t="s">
        <v>21</v>
      </c>
      <c r="C8" t="s">
        <v>22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>
        <f t="shared" si="0"/>
        <v>0</v>
      </c>
      <c r="J8" s="3">
        <f t="shared" si="1"/>
        <v>1</v>
      </c>
      <c r="K8" t="str">
        <f t="shared" si="2"/>
        <v>SI</v>
      </c>
    </row>
    <row r="9" spans="1:12" x14ac:dyDescent="0.3">
      <c r="A9">
        <v>6</v>
      </c>
      <c r="B9" t="s">
        <v>23</v>
      </c>
      <c r="C9" t="s">
        <v>24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  <c r="I9">
        <f t="shared" si="0"/>
        <v>0</v>
      </c>
      <c r="J9" s="3">
        <f t="shared" si="1"/>
        <v>1</v>
      </c>
      <c r="K9" t="str">
        <f t="shared" si="2"/>
        <v>SI</v>
      </c>
    </row>
    <row r="10" spans="1:12" x14ac:dyDescent="0.3">
      <c r="A10">
        <v>7</v>
      </c>
      <c r="B10" t="s">
        <v>25</v>
      </c>
      <c r="C10" t="s">
        <v>26</v>
      </c>
      <c r="D10" s="2" t="s">
        <v>14</v>
      </c>
      <c r="E10" s="2" t="s">
        <v>14</v>
      </c>
      <c r="F10" s="2" t="s">
        <v>14</v>
      </c>
      <c r="G10" s="2" t="s">
        <v>14</v>
      </c>
      <c r="H10" s="2" t="s">
        <v>14</v>
      </c>
      <c r="I10">
        <f t="shared" si="0"/>
        <v>0</v>
      </c>
      <c r="J10" s="3">
        <f t="shared" si="1"/>
        <v>1</v>
      </c>
      <c r="K10" t="str">
        <f t="shared" si="2"/>
        <v>SI</v>
      </c>
    </row>
    <row r="11" spans="1:12" x14ac:dyDescent="0.3">
      <c r="A11">
        <v>8</v>
      </c>
      <c r="B11" t="s">
        <v>27</v>
      </c>
      <c r="C11" t="s">
        <v>28</v>
      </c>
      <c r="D11" s="2" t="s">
        <v>14</v>
      </c>
      <c r="E11" s="2" t="s">
        <v>14</v>
      </c>
      <c r="F11" s="2" t="s">
        <v>14</v>
      </c>
      <c r="G11" s="2" t="s">
        <v>14</v>
      </c>
      <c r="H11" s="2" t="s">
        <v>14</v>
      </c>
      <c r="I11">
        <f t="shared" si="0"/>
        <v>0</v>
      </c>
      <c r="J11" s="3">
        <f t="shared" si="1"/>
        <v>1</v>
      </c>
      <c r="K11" t="str">
        <f t="shared" si="2"/>
        <v>SI</v>
      </c>
    </row>
    <row r="12" spans="1:12" x14ac:dyDescent="0.3">
      <c r="A12">
        <v>9</v>
      </c>
      <c r="B12" t="s">
        <v>29</v>
      </c>
      <c r="C12" t="s">
        <v>30</v>
      </c>
      <c r="D12" s="2" t="s">
        <v>14</v>
      </c>
      <c r="E12" s="4" t="s">
        <v>31</v>
      </c>
      <c r="F12" s="2" t="s">
        <v>14</v>
      </c>
      <c r="G12" s="4" t="s">
        <v>31</v>
      </c>
      <c r="H12" s="2" t="s">
        <v>14</v>
      </c>
      <c r="I12">
        <f t="shared" si="0"/>
        <v>2</v>
      </c>
      <c r="J12" s="3">
        <f t="shared" si="1"/>
        <v>0.6</v>
      </c>
      <c r="K12" t="str">
        <f t="shared" si="2"/>
        <v>NO</v>
      </c>
    </row>
    <row r="13" spans="1:12" x14ac:dyDescent="0.3">
      <c r="A13">
        <v>10</v>
      </c>
      <c r="B13" t="s">
        <v>32</v>
      </c>
      <c r="C13" t="s">
        <v>33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>
        <f t="shared" si="0"/>
        <v>0</v>
      </c>
      <c r="J13" s="3">
        <f t="shared" si="1"/>
        <v>1</v>
      </c>
      <c r="K13" t="str">
        <f t="shared" si="2"/>
        <v>SI</v>
      </c>
    </row>
    <row r="14" spans="1:12" x14ac:dyDescent="0.3">
      <c r="A14">
        <v>11</v>
      </c>
      <c r="B14" t="s">
        <v>34</v>
      </c>
      <c r="C14" t="s">
        <v>35</v>
      </c>
      <c r="D14" s="4" t="s">
        <v>31</v>
      </c>
      <c r="E14" s="2" t="s">
        <v>14</v>
      </c>
      <c r="F14" s="4" t="s">
        <v>31</v>
      </c>
      <c r="G14" s="2" t="s">
        <v>14</v>
      </c>
      <c r="H14" s="2" t="s">
        <v>14</v>
      </c>
      <c r="I14">
        <f t="shared" si="0"/>
        <v>2</v>
      </c>
      <c r="J14" s="3">
        <f t="shared" si="1"/>
        <v>0.6</v>
      </c>
      <c r="K14" t="str">
        <f t="shared" si="2"/>
        <v>NO</v>
      </c>
    </row>
    <row r="15" spans="1:12" x14ac:dyDescent="0.3">
      <c r="A15">
        <v>12</v>
      </c>
      <c r="B15" t="s">
        <v>36</v>
      </c>
      <c r="C15" t="s">
        <v>37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>
        <f t="shared" si="0"/>
        <v>0</v>
      </c>
      <c r="J15" s="3">
        <f t="shared" si="1"/>
        <v>1</v>
      </c>
      <c r="K15" t="str">
        <f t="shared" si="2"/>
        <v>SI</v>
      </c>
    </row>
    <row r="16" spans="1:12" x14ac:dyDescent="0.3">
      <c r="A16">
        <v>13</v>
      </c>
      <c r="B16" t="s">
        <v>38</v>
      </c>
      <c r="C16" t="s">
        <v>39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  <c r="I16">
        <f t="shared" si="0"/>
        <v>0</v>
      </c>
      <c r="J16" s="3">
        <f t="shared" si="1"/>
        <v>1</v>
      </c>
      <c r="K16" t="str">
        <f t="shared" si="2"/>
        <v>SI</v>
      </c>
    </row>
    <row r="17" spans="1:11" x14ac:dyDescent="0.3">
      <c r="A17">
        <v>14</v>
      </c>
      <c r="B17" t="s">
        <v>40</v>
      </c>
      <c r="C17" t="s">
        <v>41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  <c r="I17">
        <f t="shared" si="0"/>
        <v>0</v>
      </c>
      <c r="J17" s="3">
        <f t="shared" si="1"/>
        <v>1</v>
      </c>
      <c r="K17" t="str">
        <f t="shared" si="2"/>
        <v>SI</v>
      </c>
    </row>
    <row r="18" spans="1:11" x14ac:dyDescent="0.3">
      <c r="A18">
        <v>15</v>
      </c>
      <c r="B18" t="s">
        <v>42</v>
      </c>
      <c r="C18" t="s">
        <v>43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  <c r="I18">
        <f t="shared" si="0"/>
        <v>0</v>
      </c>
      <c r="J18" s="3">
        <f t="shared" si="1"/>
        <v>1</v>
      </c>
      <c r="K18" t="str">
        <f t="shared" si="2"/>
        <v>SI</v>
      </c>
    </row>
    <row r="19" spans="1:11" x14ac:dyDescent="0.3">
      <c r="A19">
        <v>16</v>
      </c>
      <c r="B19" t="s">
        <v>44</v>
      </c>
      <c r="C19" t="s">
        <v>45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  <c r="I19">
        <f t="shared" si="0"/>
        <v>0</v>
      </c>
      <c r="J19" s="3">
        <f t="shared" si="1"/>
        <v>1</v>
      </c>
      <c r="K19" t="str">
        <f t="shared" si="2"/>
        <v>SI</v>
      </c>
    </row>
    <row r="20" spans="1:11" x14ac:dyDescent="0.3">
      <c r="A20">
        <v>17</v>
      </c>
      <c r="B20" t="s">
        <v>46</v>
      </c>
      <c r="C20" t="s">
        <v>47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>
        <f t="shared" si="0"/>
        <v>0</v>
      </c>
      <c r="J20" s="3">
        <f t="shared" si="1"/>
        <v>1</v>
      </c>
      <c r="K20" t="str">
        <f t="shared" si="2"/>
        <v>SI</v>
      </c>
    </row>
    <row r="21" spans="1:11" x14ac:dyDescent="0.3">
      <c r="A21">
        <v>18</v>
      </c>
      <c r="B21" t="s">
        <v>48</v>
      </c>
      <c r="C21" t="s">
        <v>49</v>
      </c>
      <c r="D21" s="2" t="s">
        <v>14</v>
      </c>
      <c r="E21" s="2" t="s">
        <v>14</v>
      </c>
      <c r="F21" s="2" t="s">
        <v>14</v>
      </c>
      <c r="G21" s="2" t="s">
        <v>14</v>
      </c>
      <c r="H21" s="2" t="s">
        <v>14</v>
      </c>
      <c r="I21">
        <f t="shared" si="0"/>
        <v>0</v>
      </c>
      <c r="J21" s="3">
        <f t="shared" si="1"/>
        <v>1</v>
      </c>
      <c r="K21" t="str">
        <f t="shared" si="2"/>
        <v>SI</v>
      </c>
    </row>
    <row r="22" spans="1:11" x14ac:dyDescent="0.3">
      <c r="A22">
        <v>19</v>
      </c>
      <c r="B22" t="s">
        <v>50</v>
      </c>
      <c r="C22" t="s">
        <v>51</v>
      </c>
      <c r="D22" s="2" t="s">
        <v>14</v>
      </c>
      <c r="E22" s="2" t="s">
        <v>14</v>
      </c>
      <c r="F22" s="2" t="s">
        <v>14</v>
      </c>
      <c r="G22" s="2" t="s">
        <v>14</v>
      </c>
      <c r="H22" s="2" t="s">
        <v>14</v>
      </c>
      <c r="I22">
        <f t="shared" si="0"/>
        <v>0</v>
      </c>
      <c r="J22" s="3">
        <f t="shared" si="1"/>
        <v>1</v>
      </c>
      <c r="K22" t="str">
        <f t="shared" si="2"/>
        <v>SI</v>
      </c>
    </row>
    <row r="23" spans="1:11" x14ac:dyDescent="0.3">
      <c r="A23">
        <v>20</v>
      </c>
      <c r="B23" t="s">
        <v>52</v>
      </c>
      <c r="C23" t="s">
        <v>53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>
        <f t="shared" si="0"/>
        <v>0</v>
      </c>
      <c r="J23" s="3">
        <f t="shared" si="1"/>
        <v>1</v>
      </c>
      <c r="K23" t="str">
        <f t="shared" si="2"/>
        <v>SI</v>
      </c>
    </row>
    <row r="24" spans="1:11" x14ac:dyDescent="0.3">
      <c r="A24">
        <v>21</v>
      </c>
      <c r="B24" t="s">
        <v>54</v>
      </c>
      <c r="C24" t="s">
        <v>55</v>
      </c>
      <c r="D24" s="2" t="s">
        <v>14</v>
      </c>
      <c r="E24" s="2" t="s">
        <v>14</v>
      </c>
      <c r="F24" s="2" t="s">
        <v>14</v>
      </c>
      <c r="G24" s="2" t="s">
        <v>14</v>
      </c>
      <c r="H24" s="2" t="s">
        <v>14</v>
      </c>
      <c r="I24">
        <f t="shared" si="0"/>
        <v>0</v>
      </c>
      <c r="J24" s="3">
        <f t="shared" si="1"/>
        <v>1</v>
      </c>
      <c r="K24" t="str">
        <f t="shared" si="2"/>
        <v>SI</v>
      </c>
    </row>
    <row r="25" spans="1:11" x14ac:dyDescent="0.3">
      <c r="A25">
        <v>22</v>
      </c>
      <c r="B25" t="s">
        <v>56</v>
      </c>
      <c r="C25" t="s">
        <v>57</v>
      </c>
      <c r="D25" s="2" t="s">
        <v>14</v>
      </c>
      <c r="E25" s="2" t="s">
        <v>14</v>
      </c>
      <c r="F25" s="2" t="s">
        <v>14</v>
      </c>
      <c r="G25" s="2" t="s">
        <v>14</v>
      </c>
      <c r="H25" s="2" t="s">
        <v>14</v>
      </c>
      <c r="I25">
        <f t="shared" si="0"/>
        <v>0</v>
      </c>
      <c r="J25" s="3">
        <f t="shared" si="1"/>
        <v>1</v>
      </c>
      <c r="K25" t="str">
        <f t="shared" si="2"/>
        <v>SI</v>
      </c>
    </row>
    <row r="26" spans="1:11" x14ac:dyDescent="0.3">
      <c r="A26">
        <v>23</v>
      </c>
      <c r="B26" t="s">
        <v>58</v>
      </c>
      <c r="C26" t="s">
        <v>59</v>
      </c>
      <c r="D26" s="2" t="s">
        <v>14</v>
      </c>
      <c r="E26" s="2" t="s">
        <v>14</v>
      </c>
      <c r="F26" s="2" t="s">
        <v>14</v>
      </c>
      <c r="G26" s="2" t="s">
        <v>14</v>
      </c>
      <c r="H26" s="2" t="s">
        <v>14</v>
      </c>
      <c r="I26">
        <f t="shared" si="0"/>
        <v>0</v>
      </c>
      <c r="J26" s="3">
        <f t="shared" si="1"/>
        <v>1</v>
      </c>
      <c r="K26" t="str">
        <f t="shared" si="2"/>
        <v>SI</v>
      </c>
    </row>
    <row r="27" spans="1:11" x14ac:dyDescent="0.3">
      <c r="A27">
        <v>24</v>
      </c>
      <c r="B27" t="s">
        <v>60</v>
      </c>
      <c r="C27" t="s">
        <v>61</v>
      </c>
      <c r="D27" s="2" t="s">
        <v>14</v>
      </c>
      <c r="E27" s="2" t="s">
        <v>14</v>
      </c>
      <c r="F27" s="2" t="s">
        <v>14</v>
      </c>
      <c r="G27" s="2" t="s">
        <v>14</v>
      </c>
      <c r="H27" s="2" t="s">
        <v>14</v>
      </c>
      <c r="I27">
        <f t="shared" si="0"/>
        <v>0</v>
      </c>
      <c r="J27" s="3">
        <f t="shared" si="1"/>
        <v>1</v>
      </c>
      <c r="K27" t="str">
        <f t="shared" si="2"/>
        <v>SI</v>
      </c>
    </row>
    <row r="28" spans="1:11" x14ac:dyDescent="0.3">
      <c r="A28">
        <v>25</v>
      </c>
      <c r="B28" t="s">
        <v>62</v>
      </c>
      <c r="C28" t="s">
        <v>63</v>
      </c>
      <c r="D28" s="2" t="s">
        <v>14</v>
      </c>
      <c r="E28" s="2" t="s">
        <v>14</v>
      </c>
      <c r="F28" s="2" t="s">
        <v>14</v>
      </c>
      <c r="G28" s="2" t="s">
        <v>14</v>
      </c>
      <c r="H28" s="2" t="s">
        <v>14</v>
      </c>
      <c r="I28">
        <f t="shared" si="0"/>
        <v>0</v>
      </c>
      <c r="J28" s="3">
        <f t="shared" si="1"/>
        <v>1</v>
      </c>
      <c r="K28" t="str">
        <f t="shared" si="2"/>
        <v>SI</v>
      </c>
    </row>
    <row r="29" spans="1:11" x14ac:dyDescent="0.3">
      <c r="A29">
        <v>26</v>
      </c>
      <c r="B29" t="s">
        <v>64</v>
      </c>
      <c r="C29" t="s">
        <v>65</v>
      </c>
      <c r="D29" s="2" t="s">
        <v>14</v>
      </c>
      <c r="E29" s="2" t="s">
        <v>14</v>
      </c>
      <c r="F29" s="2" t="s">
        <v>14</v>
      </c>
      <c r="G29" s="2" t="s">
        <v>14</v>
      </c>
      <c r="H29" s="2" t="s">
        <v>14</v>
      </c>
      <c r="I29">
        <f t="shared" si="0"/>
        <v>0</v>
      </c>
      <c r="J29" s="3">
        <f t="shared" si="1"/>
        <v>1</v>
      </c>
      <c r="K29" t="str">
        <f t="shared" si="2"/>
        <v>SI</v>
      </c>
    </row>
    <row r="30" spans="1:11" x14ac:dyDescent="0.3">
      <c r="A30">
        <v>27</v>
      </c>
      <c r="B30" t="s">
        <v>66</v>
      </c>
      <c r="C30" t="s">
        <v>67</v>
      </c>
      <c r="D30" s="2" t="s">
        <v>14</v>
      </c>
      <c r="E30" s="2" t="s">
        <v>14</v>
      </c>
      <c r="F30" s="2" t="s">
        <v>14</v>
      </c>
      <c r="G30" s="2" t="s">
        <v>14</v>
      </c>
      <c r="H30" s="2" t="s">
        <v>14</v>
      </c>
      <c r="I30">
        <f t="shared" si="0"/>
        <v>0</v>
      </c>
      <c r="J30" s="3">
        <f t="shared" si="1"/>
        <v>1</v>
      </c>
      <c r="K30" t="str">
        <f t="shared" si="2"/>
        <v>SI</v>
      </c>
    </row>
    <row r="31" spans="1:11" x14ac:dyDescent="0.3">
      <c r="A31">
        <v>28</v>
      </c>
      <c r="B31" t="s">
        <v>68</v>
      </c>
      <c r="C31" t="s">
        <v>69</v>
      </c>
      <c r="D31" s="2" t="s">
        <v>14</v>
      </c>
      <c r="E31" s="2" t="s">
        <v>14</v>
      </c>
      <c r="F31" s="2" t="s">
        <v>14</v>
      </c>
      <c r="G31" s="2" t="s">
        <v>14</v>
      </c>
      <c r="H31" s="2" t="s">
        <v>14</v>
      </c>
      <c r="I31">
        <f t="shared" si="0"/>
        <v>0</v>
      </c>
      <c r="J31" s="3">
        <f t="shared" si="1"/>
        <v>1</v>
      </c>
      <c r="K31" t="str">
        <f t="shared" si="2"/>
        <v>SI</v>
      </c>
    </row>
    <row r="32" spans="1:11" x14ac:dyDescent="0.3">
      <c r="A32">
        <v>29</v>
      </c>
      <c r="B32" t="s">
        <v>70</v>
      </c>
      <c r="C32" t="s">
        <v>71</v>
      </c>
      <c r="D32" s="2" t="s">
        <v>14</v>
      </c>
      <c r="E32" s="2" t="s">
        <v>14</v>
      </c>
      <c r="F32" s="2" t="s">
        <v>14</v>
      </c>
      <c r="G32" s="2" t="s">
        <v>14</v>
      </c>
      <c r="H32" s="2" t="s">
        <v>14</v>
      </c>
      <c r="I32">
        <f t="shared" si="0"/>
        <v>0</v>
      </c>
      <c r="J32" s="3">
        <f t="shared" si="1"/>
        <v>1</v>
      </c>
      <c r="K32" t="str">
        <f t="shared" si="2"/>
        <v>SI</v>
      </c>
    </row>
    <row r="33" spans="1:11" x14ac:dyDescent="0.3">
      <c r="A33">
        <v>30</v>
      </c>
      <c r="B33" t="s">
        <v>72</v>
      </c>
      <c r="C33" t="s">
        <v>73</v>
      </c>
      <c r="D33" s="2" t="s">
        <v>14</v>
      </c>
      <c r="E33" s="2" t="s">
        <v>14</v>
      </c>
      <c r="F33" s="2" t="s">
        <v>14</v>
      </c>
      <c r="G33" s="2" t="s">
        <v>14</v>
      </c>
      <c r="H33" s="2" t="s">
        <v>14</v>
      </c>
      <c r="I33">
        <f t="shared" si="0"/>
        <v>0</v>
      </c>
      <c r="J33" s="3">
        <f t="shared" si="1"/>
        <v>1</v>
      </c>
      <c r="K33" t="str">
        <f t="shared" si="2"/>
        <v>SI</v>
      </c>
    </row>
    <row r="34" spans="1:11" x14ac:dyDescent="0.3">
      <c r="A34">
        <v>31</v>
      </c>
      <c r="B34" t="s">
        <v>74</v>
      </c>
      <c r="C34" t="s">
        <v>75</v>
      </c>
      <c r="D34" s="2" t="s">
        <v>14</v>
      </c>
      <c r="E34" s="2" t="s">
        <v>14</v>
      </c>
      <c r="F34" s="2" t="s">
        <v>14</v>
      </c>
      <c r="G34" s="2" t="s">
        <v>14</v>
      </c>
      <c r="H34" s="2" t="s">
        <v>14</v>
      </c>
      <c r="I34">
        <f t="shared" si="0"/>
        <v>0</v>
      </c>
      <c r="J34" s="3">
        <f t="shared" si="1"/>
        <v>1</v>
      </c>
      <c r="K34" t="str">
        <f t="shared" si="2"/>
        <v>SI</v>
      </c>
    </row>
    <row r="35" spans="1:11" x14ac:dyDescent="0.3">
      <c r="C35" s="5" t="s">
        <v>76</v>
      </c>
      <c r="D35">
        <f>COUNTA(C4:C34)</f>
        <v>31</v>
      </c>
    </row>
    <row r="36" spans="1:11" x14ac:dyDescent="0.3">
      <c r="C36" s="5" t="s">
        <v>77</v>
      </c>
      <c r="D36">
        <f>COUNTIF(K4:K34,"SI")</f>
        <v>29</v>
      </c>
    </row>
    <row r="37" spans="1:11" x14ac:dyDescent="0.3">
      <c r="C37" s="5" t="s">
        <v>78</v>
      </c>
      <c r="D37">
        <f>D35-D36</f>
        <v>2</v>
      </c>
    </row>
  </sheetData>
  <mergeCells count="1">
    <mergeCell ref="A1:L1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 Corte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 Science</cp:lastModifiedBy>
  <dcterms:created xsi:type="dcterms:W3CDTF">2026-07-26T22:02:07Z</dcterms:created>
  <dcterms:modified xsi:type="dcterms:W3CDTF">2026-07-26T22:05:31Z</dcterms:modified>
</cp:coreProperties>
</file>